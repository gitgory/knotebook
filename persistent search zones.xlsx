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nergy350-my.sharepoint.com/personal/gannis_energy350_com/Documents/Desktop/"/>
    </mc:Choice>
  </mc:AlternateContent>
  <xr:revisionPtr revIDLastSave="0" documentId="8_{A25277CB-36CB-40DC-8903-5561CFDA9A09}" xr6:coauthVersionLast="47" xr6:coauthVersionMax="47" xr10:uidLastSave="{00000000-0000-0000-0000-000000000000}"/>
  <bookViews>
    <workbookView xWindow="-96" yWindow="-96" windowWidth="41472" windowHeight="16752" xr2:uid="{5B741D9E-C8D3-45A1-99AB-D042E3E9C942}"/>
  </bookViews>
  <sheets>
    <sheet name="Sheet1" sheetId="1" r:id="rId1"/>
  </sheets>
  <definedNames>
    <definedName name="_xlnm._FilterDatabase" localSheetId="0" hidden="1">Sheet1!$F$3:$M$21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" i="1" l="1"/>
  <c r="N2" i="1"/>
  <c r="H23" i="1"/>
  <c r="U42" i="1"/>
  <c r="T42" i="1"/>
  <c r="U41" i="1"/>
  <c r="T41" i="1"/>
  <c r="U39" i="1"/>
  <c r="T39" i="1"/>
  <c r="U38" i="1"/>
  <c r="T38" i="1"/>
  <c r="U37" i="1"/>
  <c r="T37" i="1"/>
  <c r="U36" i="1"/>
  <c r="T36" i="1"/>
  <c r="U35" i="1"/>
  <c r="T35" i="1"/>
  <c r="U34" i="1"/>
  <c r="T34" i="1"/>
  <c r="U33" i="1"/>
  <c r="T33" i="1"/>
  <c r="U32" i="1"/>
  <c r="T32" i="1"/>
  <c r="U31" i="1"/>
  <c r="T31" i="1"/>
  <c r="U30" i="1"/>
  <c r="T30" i="1"/>
  <c r="U29" i="1"/>
  <c r="T29" i="1"/>
  <c r="U28" i="1"/>
  <c r="T28" i="1"/>
  <c r="U27" i="1"/>
  <c r="T27" i="1"/>
  <c r="U26" i="1"/>
  <c r="T26" i="1"/>
  <c r="U25" i="1"/>
  <c r="T25" i="1"/>
  <c r="U23" i="1"/>
  <c r="T23" i="1"/>
  <c r="N4" i="1"/>
  <c r="T40" i="1" s="1"/>
  <c r="O4" i="1"/>
  <c r="H40" i="1" s="1"/>
  <c r="G40" i="1"/>
  <c r="Y5" i="1"/>
  <c r="Y6" i="1"/>
  <c r="Y4" i="1"/>
  <c r="G23" i="1"/>
  <c r="U40" i="1" l="1"/>
  <c r="H34" i="1"/>
  <c r="H33" i="1"/>
  <c r="H32" i="1"/>
  <c r="H31" i="1"/>
  <c r="H25" i="1"/>
  <c r="H30" i="1"/>
  <c r="H42" i="1"/>
  <c r="H29" i="1"/>
  <c r="H41" i="1"/>
  <c r="H28" i="1"/>
  <c r="H39" i="1"/>
  <c r="H27" i="1"/>
  <c r="H38" i="1"/>
  <c r="H26" i="1"/>
  <c r="H37" i="1"/>
  <c r="H36" i="1"/>
  <c r="H35" i="1"/>
  <c r="G36" i="1"/>
  <c r="G30" i="1"/>
  <c r="G29" i="1"/>
  <c r="G42" i="1"/>
  <c r="G35" i="1"/>
  <c r="G41" i="1"/>
  <c r="G34" i="1"/>
  <c r="G28" i="1"/>
  <c r="G39" i="1"/>
  <c r="G33" i="1"/>
  <c r="G27" i="1"/>
  <c r="G38" i="1"/>
  <c r="G32" i="1"/>
  <c r="G26" i="1"/>
  <c r="G25" i="1"/>
  <c r="G37" i="1"/>
  <c r="G31" i="1"/>
</calcChain>
</file>

<file path=xl/sharedStrings.xml><?xml version="1.0" encoding="utf-8"?>
<sst xmlns="http://schemas.openxmlformats.org/spreadsheetml/2006/main" count="124" uniqueCount="41">
  <si>
    <t>Task</t>
  </si>
  <si>
    <t>A</t>
  </si>
  <si>
    <t>B</t>
  </si>
  <si>
    <t>C</t>
  </si>
  <si>
    <t>D</t>
  </si>
  <si>
    <t>E</t>
  </si>
  <si>
    <t>F</t>
  </si>
  <si>
    <t>G</t>
  </si>
  <si>
    <t>x</t>
  </si>
  <si>
    <t>y</t>
  </si>
  <si>
    <t>Priority</t>
  </si>
  <si>
    <t>Impact</t>
  </si>
  <si>
    <t>Effort</t>
  </si>
  <si>
    <t>Timeline</t>
  </si>
  <si>
    <t>Low &lt;-- Effort --&gt; High</t>
  </si>
  <si>
    <t>Low &lt;-- Impact --&gt; High</t>
  </si>
  <si>
    <t>Low &lt;-- Priority --&gt; High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</si>
  <si>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</si>
  <si>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</si>
  <si>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</si>
  <si>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</si>
  <si>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</si>
  <si>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</si>
  <si>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</si>
  <si>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</si>
  <si>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</si>
  <si>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</si>
  <si>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</si>
  <si>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Time</t>
  </si>
  <si>
    <t>z</t>
  </si>
  <si>
    <t>Group 1</t>
  </si>
  <si>
    <t>Group 2</t>
  </si>
  <si>
    <t>Order</t>
  </si>
  <si>
    <t>aaa</t>
  </si>
  <si>
    <t>bbb</t>
  </si>
  <si>
    <t>ccc</t>
  </si>
  <si>
    <t>xx</t>
  </si>
  <si>
    <t>yy</t>
  </si>
  <si>
    <t>zz</t>
  </si>
  <si>
    <t>ww</t>
  </si>
  <si>
    <t>vv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</si>
</sst>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9" fontId="0" fillId="0" borderId="0" xfId="1" applyFont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Sheet1!$U$24</c:f>
              <c:strCache>
                <c:ptCount val="1"/>
                <c:pt idx="0">
                  <c:v>Group 2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2"/>
            <c:spPr>
              <a:solidFill>
                <a:schemeClr val="accent1">
                  <a:alpha val="2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11A5EB5-44C9-48B4-8A24-6775EB9EB2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8BC-4115-9BCF-1841B2ED6F8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19DE031-2E99-4036-97E5-A8700A6E2D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8BC-4115-9BCF-1841B2ED6F8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6E0620E-B33F-4376-B9D5-456269D094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8BC-4115-9BCF-1841B2ED6F8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A32D5B1-7330-45DE-A4B7-43BCADA874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B8BC-4115-9BCF-1841B2ED6F8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144792C-BE81-4533-A8C3-EDC8B98313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8BC-4115-9BCF-1841B2ED6F8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84B9BE6-49BA-491D-83C6-FC7B03459A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B8BC-4115-9BCF-1841B2ED6F8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38DAD6C-DB2F-4C4F-933D-51684045F09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B8BC-4115-9BCF-1841B2ED6F8A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B79C051-0924-4CC2-9C3C-9131FF3DDD2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8BC-4115-9BCF-1841B2ED6F8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C1010B9-A138-4323-B398-676B13BE79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8BC-4115-9BCF-1841B2ED6F8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500A4873-AAF1-4A89-9FFB-F4D71FB460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8BC-4115-9BCF-1841B2ED6F8A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4280F4A-C0F8-468E-A57C-41D5F085A9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B8BC-4115-9BCF-1841B2ED6F8A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AFC26A2-F40B-4B8D-ADDC-DA79E38C68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B8BC-4115-9BCF-1841B2ED6F8A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DEC4241-0AFB-4357-B6B4-90CFC67CB3D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B8BC-4115-9BCF-1841B2ED6F8A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DBF77497-CE4C-461E-8F7D-26327D8AD7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B8BC-4115-9BCF-1841B2ED6F8A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FEE4D2F9-93FA-406A-8047-351A51DEF0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8BC-4115-9BCF-1841B2ED6F8A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A6B1017-BF3D-42F6-AD89-4CB0E6D6FAE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B8BC-4115-9BCF-1841B2ED6F8A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755BFDB-8977-4753-A6DE-71BD04C7D1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B8BC-4115-9BCF-1841B2ED6F8A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67D47626-B3EF-40DA-9861-4D899CB99F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B8BC-4115-9BCF-1841B2ED6F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Sheet1!$T$25:$T$42</c:f>
              <c:numCache>
                <c:formatCode>General</c:formatCode>
                <c:ptCount val="18"/>
                <c:pt idx="0">
                  <c:v>0.14666666666666667</c:v>
                </c:pt>
                <c:pt idx="1">
                  <c:v>0.5</c:v>
                </c:pt>
                <c:pt idx="2">
                  <c:v>0.52999999999999992</c:v>
                </c:pt>
                <c:pt idx="3">
                  <c:v>0.18666666666666665</c:v>
                </c:pt>
                <c:pt idx="4">
                  <c:v>0.79333333333333333</c:v>
                </c:pt>
                <c:pt idx="5">
                  <c:v>0.48000000000000004</c:v>
                </c:pt>
                <c:pt idx="6">
                  <c:v>0.20666666666666667</c:v>
                </c:pt>
                <c:pt idx="7">
                  <c:v>0.19666666666666666</c:v>
                </c:pt>
                <c:pt idx="8">
                  <c:v>0.11666666666666665</c:v>
                </c:pt>
                <c:pt idx="9">
                  <c:v>0.20666666666666667</c:v>
                </c:pt>
                <c:pt idx="10">
                  <c:v>0.52</c:v>
                </c:pt>
                <c:pt idx="11">
                  <c:v>0.5</c:v>
                </c:pt>
                <c:pt idx="12">
                  <c:v>0.86333333333333329</c:v>
                </c:pt>
                <c:pt idx="13">
                  <c:v>0.86333333333333329</c:v>
                </c:pt>
                <c:pt idx="14">
                  <c:v>0.52</c:v>
                </c:pt>
                <c:pt idx="15">
                  <c:v>0.11666666666666665</c:v>
                </c:pt>
                <c:pt idx="16">
                  <c:v>0.13666666666666666</c:v>
                </c:pt>
                <c:pt idx="17">
                  <c:v>0.86333333333333329</c:v>
                </c:pt>
              </c:numCache>
            </c:numRef>
          </c:xVal>
          <c:yVal>
            <c:numRef>
              <c:f>Sheet1!$U$25:$U$42</c:f>
              <c:numCache>
                <c:formatCode>General</c:formatCode>
                <c:ptCount val="18"/>
                <c:pt idx="0">
                  <c:v>0.3</c:v>
                </c:pt>
                <c:pt idx="1">
                  <c:v>0.73999999999999988</c:v>
                </c:pt>
                <c:pt idx="2">
                  <c:v>0.08</c:v>
                </c:pt>
                <c:pt idx="3">
                  <c:v>0.48000000000000004</c:v>
                </c:pt>
                <c:pt idx="4">
                  <c:v>0.5</c:v>
                </c:pt>
                <c:pt idx="5">
                  <c:v>0.72999999999999987</c:v>
                </c:pt>
                <c:pt idx="6">
                  <c:v>0.53999999999999992</c:v>
                </c:pt>
                <c:pt idx="7">
                  <c:v>0.86</c:v>
                </c:pt>
                <c:pt idx="8">
                  <c:v>0.33</c:v>
                </c:pt>
                <c:pt idx="9">
                  <c:v>0.9</c:v>
                </c:pt>
                <c:pt idx="10">
                  <c:v>0.47000000000000003</c:v>
                </c:pt>
                <c:pt idx="11">
                  <c:v>0.85</c:v>
                </c:pt>
                <c:pt idx="12">
                  <c:v>0.88</c:v>
                </c:pt>
                <c:pt idx="13">
                  <c:v>0.73999999999999988</c:v>
                </c:pt>
                <c:pt idx="14">
                  <c:v>0.10000000000000002</c:v>
                </c:pt>
                <c:pt idx="15">
                  <c:v>0.54999999999999993</c:v>
                </c:pt>
                <c:pt idx="16">
                  <c:v>0.87</c:v>
                </c:pt>
                <c:pt idx="17">
                  <c:v>0.64999999999999991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Sheet1!$F$25:$F$42</c15:f>
                <c15:dlblRangeCache>
                  <c:ptCount val="18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  <c:pt idx="9">
                    <c:v>J</c:v>
                  </c:pt>
                  <c:pt idx="10">
                    <c:v>K</c:v>
                  </c:pt>
                  <c:pt idx="11">
                    <c:v>L</c:v>
                  </c:pt>
                  <c:pt idx="12">
                    <c:v>M</c:v>
                  </c:pt>
                  <c:pt idx="13">
                    <c:v>N</c:v>
                  </c:pt>
                  <c:pt idx="14">
                    <c:v>O</c:v>
                  </c:pt>
                  <c:pt idx="15">
                    <c:v>P</c:v>
                  </c:pt>
                  <c:pt idx="16">
                    <c:v>Q</c:v>
                  </c:pt>
                  <c:pt idx="17">
                    <c:v>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B8BC-4115-9BCF-1841B2ED6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181791"/>
        <c:axId val="1954182271"/>
      </c:scatterChart>
      <c:valAx>
        <c:axId val="1954181791"/>
        <c:scaling>
          <c:orientation val="minMax"/>
          <c:max val="1"/>
          <c:min val="0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Sheet1!$T$23</c:f>
              <c:strCache>
                <c:ptCount val="1"/>
                <c:pt idx="0">
                  <c:v>aaa                       |                       bbb                       |                       ccc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54182271"/>
        <c:crosses val="autoZero"/>
        <c:crossBetween val="midCat"/>
        <c:majorUnit val="0.33300000000000007"/>
      </c:valAx>
      <c:valAx>
        <c:axId val="1954182271"/>
        <c:scaling>
          <c:orientation val="minMax"/>
          <c:max val="1"/>
          <c:min val="0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Sheet1!$U$23</c:f>
              <c:strCache>
                <c:ptCount val="1"/>
                <c:pt idx="0">
                  <c:v>vv      |      ww      |      xx      |      yy      |      zz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1954181791"/>
        <c:crosses val="autoZero"/>
        <c:crossBetween val="midCat"/>
        <c:majorUnit val="0.2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Sheet1!$H$24</c:f>
              <c:strCache>
                <c:ptCount val="1"/>
                <c:pt idx="0">
                  <c:v>Group 2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22"/>
            <c:spPr>
              <a:solidFill>
                <a:schemeClr val="accent1">
                  <a:alpha val="20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23E2970-C06D-40B5-9E1F-B3E86431E2E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E4F1-4A45-9965-D7835AE6445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B98531F0-B06C-40AB-BFB3-48117CF96A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4F1-4A45-9965-D7835AE6445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2E983C6-3D4F-4DD3-B083-8C98406AF1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4F1-4A45-9965-D7835AE6445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19C5398-82D2-4307-A528-540D6769A5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4F1-4A45-9965-D7835AE6445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0AE1655-6D28-4F18-9E3C-616F73FC485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4F1-4A45-9965-D7835AE6445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FE880DF-5666-48F6-9733-F6C0ADFF34D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4F1-4A45-9965-D7835AE6445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CE338F6-40D1-4530-ABAE-67274F49D3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4F1-4A45-9965-D7835AE6445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D437426-6FEB-4338-8851-7423ECD024E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E4F1-4A45-9965-D7835AE6445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37F404D-AED5-4802-81D3-1ED1CC65E7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E4F1-4A45-9965-D7835AE6445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D10021B-78B8-4ED2-88AB-FB14CBB7A14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E4F1-4A45-9965-D7835AE6445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E6143D3-E025-43E2-9695-5E9770B2E3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E4F1-4A45-9965-D7835AE6445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D212397-662D-4663-B15D-D83A90DB8C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E4F1-4A45-9965-D7835AE6445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6A3D52F6-A4EF-4E1A-818A-EADCB8745B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E4F1-4A45-9965-D7835AE6445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5C882861-EEF4-49A2-84C3-251F96AE72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E4F1-4A45-9965-D7835AE6445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8309D30-9447-4704-9314-C22B5FAED3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E4F1-4A45-9965-D7835AE6445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3486CEE-C176-4B0B-85AB-8C6BD90C374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E4F1-4A45-9965-D7835AE6445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961F7BF1-7150-4938-A154-EE7CF3F862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E4F1-4A45-9965-D7835AE64454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FAD36649-D20B-4B75-A699-453FA6ACF0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E4F1-4A45-9965-D7835AE6445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Sheet1!$G$25:$G$42</c:f>
              <c:numCache>
                <c:formatCode>General</c:formatCode>
                <c:ptCount val="18"/>
                <c:pt idx="0">
                  <c:v>0.79999999999999993</c:v>
                </c:pt>
                <c:pt idx="1">
                  <c:v>0.6333333333333333</c:v>
                </c:pt>
                <c:pt idx="2">
                  <c:v>0.93333333333333324</c:v>
                </c:pt>
                <c:pt idx="3">
                  <c:v>0.53333333333333333</c:v>
                </c:pt>
                <c:pt idx="4">
                  <c:v>0.46666666666666662</c:v>
                </c:pt>
                <c:pt idx="5">
                  <c:v>0.26666666666666666</c:v>
                </c:pt>
                <c:pt idx="6">
                  <c:v>0.70000000000000007</c:v>
                </c:pt>
                <c:pt idx="7">
                  <c:v>0.5</c:v>
                </c:pt>
                <c:pt idx="8">
                  <c:v>0.3666666666666667</c:v>
                </c:pt>
                <c:pt idx="9">
                  <c:v>0.73333333333333339</c:v>
                </c:pt>
                <c:pt idx="10">
                  <c:v>0.26666666666666666</c:v>
                </c:pt>
                <c:pt idx="11">
                  <c:v>0.96666666666666667</c:v>
                </c:pt>
                <c:pt idx="12">
                  <c:v>0.73333333333333339</c:v>
                </c:pt>
                <c:pt idx="13">
                  <c:v>0.76666666666666661</c:v>
                </c:pt>
                <c:pt idx="14">
                  <c:v>1</c:v>
                </c:pt>
                <c:pt idx="15">
                  <c:v>0.46666666666666662</c:v>
                </c:pt>
                <c:pt idx="16">
                  <c:v>0.66666666666666663</c:v>
                </c:pt>
                <c:pt idx="17">
                  <c:v>0.76666666666666661</c:v>
                </c:pt>
              </c:numCache>
            </c:numRef>
          </c:xVal>
          <c:yVal>
            <c:numRef>
              <c:f>Sheet1!$H$25:$H$42</c:f>
              <c:numCache>
                <c:formatCode>General</c:formatCode>
                <c:ptCount val="18"/>
                <c:pt idx="0">
                  <c:v>0.3</c:v>
                </c:pt>
                <c:pt idx="1">
                  <c:v>0.73999999999999988</c:v>
                </c:pt>
                <c:pt idx="2">
                  <c:v>0.08</c:v>
                </c:pt>
                <c:pt idx="3">
                  <c:v>0.48000000000000004</c:v>
                </c:pt>
                <c:pt idx="4">
                  <c:v>0.5</c:v>
                </c:pt>
                <c:pt idx="5">
                  <c:v>0.72999999999999987</c:v>
                </c:pt>
                <c:pt idx="6">
                  <c:v>0.53999999999999992</c:v>
                </c:pt>
                <c:pt idx="7">
                  <c:v>0.86</c:v>
                </c:pt>
                <c:pt idx="8">
                  <c:v>0.33</c:v>
                </c:pt>
                <c:pt idx="9">
                  <c:v>0.9</c:v>
                </c:pt>
                <c:pt idx="10">
                  <c:v>0.47000000000000003</c:v>
                </c:pt>
                <c:pt idx="11">
                  <c:v>0.85</c:v>
                </c:pt>
                <c:pt idx="12">
                  <c:v>0.88</c:v>
                </c:pt>
                <c:pt idx="13">
                  <c:v>0.73999999999999988</c:v>
                </c:pt>
                <c:pt idx="14">
                  <c:v>0.10000000000000002</c:v>
                </c:pt>
                <c:pt idx="15">
                  <c:v>0.54999999999999993</c:v>
                </c:pt>
                <c:pt idx="16">
                  <c:v>0.87</c:v>
                </c:pt>
                <c:pt idx="17">
                  <c:v>0.64999999999999991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Sheet1!$F$25:$F$42</c15:f>
                <c15:dlblRangeCache>
                  <c:ptCount val="18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  <c:pt idx="5">
                    <c:v>F</c:v>
                  </c:pt>
                  <c:pt idx="6">
                    <c:v>G</c:v>
                  </c:pt>
                  <c:pt idx="7">
                    <c:v>H</c:v>
                  </c:pt>
                  <c:pt idx="8">
                    <c:v>I</c:v>
                  </c:pt>
                  <c:pt idx="9">
                    <c:v>J</c:v>
                  </c:pt>
                  <c:pt idx="10">
                    <c:v>K</c:v>
                  </c:pt>
                  <c:pt idx="11">
                    <c:v>L</c:v>
                  </c:pt>
                  <c:pt idx="12">
                    <c:v>M</c:v>
                  </c:pt>
                  <c:pt idx="13">
                    <c:v>N</c:v>
                  </c:pt>
                  <c:pt idx="14">
                    <c:v>O</c:v>
                  </c:pt>
                  <c:pt idx="15">
                    <c:v>P</c:v>
                  </c:pt>
                  <c:pt idx="16">
                    <c:v>Q</c:v>
                  </c:pt>
                  <c:pt idx="17">
                    <c:v>R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2-E4F1-4A45-9965-D7835AE64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4181791"/>
        <c:axId val="1954182271"/>
      </c:scatterChart>
      <c:valAx>
        <c:axId val="1954181791"/>
        <c:scaling>
          <c:orientation val="minMax"/>
        </c:scaling>
        <c:delete val="1"/>
        <c:axPos val="b"/>
        <c:title>
          <c:tx>
            <c:strRef>
              <c:f>Sheet1!$G$23</c:f>
              <c:strCache>
                <c:ptCount val="1"/>
                <c:pt idx="0">
                  <c:v>Low &lt;-- Effort --&gt; High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54182271"/>
        <c:crosses val="autoZero"/>
        <c:crossBetween val="midCat"/>
      </c:valAx>
      <c:valAx>
        <c:axId val="1954182271"/>
        <c:scaling>
          <c:orientation val="minMax"/>
        </c:scaling>
        <c:delete val="1"/>
        <c:axPos val="l"/>
        <c:title>
          <c:tx>
            <c:strRef>
              <c:f>Sheet1!$H$23</c:f>
              <c:strCache>
                <c:ptCount val="1"/>
                <c:pt idx="0">
                  <c:v>vv      |      ww      |      xx      |      yy      |      zz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54181791"/>
        <c:crosses val="autoZero"/>
        <c:crossBetween val="midCat"/>
      </c:valAx>
      <c:spPr>
        <a:noFill/>
        <a:ln>
          <a:solidFill>
            <a:schemeClr val="tx1">
              <a:lumMod val="50000"/>
              <a:lumOff val="50000"/>
            </a:schemeClr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63500" sx="102000" sy="102000" algn="ctr">
        <a:prstClr val="black">
          <a:alpha val="40000"/>
        </a:prst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142875</xdr:colOff>
      <xdr:row>23</xdr:row>
      <xdr:rowOff>28575</xdr:rowOff>
    </xdr:from>
    <xdr:to>
      <xdr:col>29</xdr:col>
      <xdr:colOff>447675</xdr:colOff>
      <xdr:row>37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397065B3-270C-404A-89BF-D3CAD9713B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16</xdr:col>
      <xdr:colOff>285750</xdr:colOff>
      <xdr:row>37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315A968-970B-4397-8E7A-A8E5B4B60B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447675</xdr:colOff>
      <xdr:row>15</xdr:row>
      <xdr:rowOff>19050</xdr:rowOff>
    </xdr:from>
    <xdr:to>
      <xdr:col>25</xdr:col>
      <xdr:colOff>277137</xdr:colOff>
      <xdr:row>42</xdr:row>
      <xdr:rowOff>48347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EA588F6-626D-A389-5A5C-53D6264BA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001125" y="2876550"/>
          <a:ext cx="6535062" cy="5172797"/>
        </a:xfrm>
        <a:prstGeom prst="rect">
          <a:avLst/>
        </a:prstGeom>
      </xdr:spPr>
    </xdr:pic>
    <xdr:clientData/>
  </xdr:twoCellAnchor>
  <xdr:twoCellAnchor>
    <xdr:from>
      <xdr:col>15</xdr:col>
      <xdr:colOff>266699</xdr:colOff>
      <xdr:row>15</xdr:row>
      <xdr:rowOff>123825</xdr:rowOff>
    </xdr:from>
    <xdr:to>
      <xdr:col>25</xdr:col>
      <xdr:colOff>28574</xdr:colOff>
      <xdr:row>37</xdr:row>
      <xdr:rowOff>180975</xdr:rowOff>
    </xdr:to>
    <xdr:grpSp>
      <xdr:nvGrpSpPr>
        <xdr:cNvPr id="24" name="Group 23">
          <a:extLst>
            <a:ext uri="{FF2B5EF4-FFF2-40B4-BE49-F238E27FC236}">
              <a16:creationId xmlns:a16="http://schemas.microsoft.com/office/drawing/2014/main" id="{7734B20D-9430-F751-EAD4-76C3CF2E6F57}"/>
            </a:ext>
          </a:extLst>
        </xdr:cNvPr>
        <xdr:cNvGrpSpPr/>
      </xdr:nvGrpSpPr>
      <xdr:grpSpPr>
        <a:xfrm>
          <a:off x="9433559" y="2979420"/>
          <a:ext cx="5859780" cy="4251960"/>
          <a:chOff x="9391649" y="3000375"/>
          <a:chExt cx="5857875" cy="4248150"/>
        </a:xfrm>
      </xdr:grpSpPr>
      <xdr:grpSp>
        <xdr:nvGrpSpPr>
          <xdr:cNvPr id="22" name="Group 21">
            <a:extLst>
              <a:ext uri="{FF2B5EF4-FFF2-40B4-BE49-F238E27FC236}">
                <a16:creationId xmlns:a16="http://schemas.microsoft.com/office/drawing/2014/main" id="{AC3C5D8B-3E74-8591-7918-2FF6A53B16F5}"/>
              </a:ext>
            </a:extLst>
          </xdr:cNvPr>
          <xdr:cNvGrpSpPr/>
        </xdr:nvGrpSpPr>
        <xdr:grpSpPr>
          <a:xfrm>
            <a:off x="9391649" y="3000375"/>
            <a:ext cx="5857875" cy="4248150"/>
            <a:chOff x="9286874" y="3438525"/>
            <a:chExt cx="5857875" cy="4248150"/>
          </a:xfrm>
        </xdr:grpSpPr>
        <xdr:sp macro="" textlink="">
          <xdr:nvSpPr>
            <xdr:cNvPr id="14" name="Rectangle: Rounded Corners 13">
              <a:extLst>
                <a:ext uri="{FF2B5EF4-FFF2-40B4-BE49-F238E27FC236}">
                  <a16:creationId xmlns:a16="http://schemas.microsoft.com/office/drawing/2014/main" id="{C6AED13E-6A0F-05C6-1CA5-7E9C0D15A288}"/>
                </a:ext>
              </a:extLst>
            </xdr:cNvPr>
            <xdr:cNvSpPr/>
          </xdr:nvSpPr>
          <xdr:spPr>
            <a:xfrm>
              <a:off x="9477375" y="3438525"/>
              <a:ext cx="1133475" cy="4238625"/>
            </a:xfrm>
            <a:prstGeom prst="roundRect">
              <a:avLst>
                <a:gd name="adj" fmla="val 4482"/>
              </a:avLst>
            </a:prstGeom>
            <a:solidFill>
              <a:schemeClr val="accent6">
                <a:alpha val="5000"/>
              </a:schemeClr>
            </a:solidFill>
            <a:ln>
              <a:solidFill>
                <a:schemeClr val="accent6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9" name="Rectangle: Rounded Corners 18">
              <a:extLst>
                <a:ext uri="{FF2B5EF4-FFF2-40B4-BE49-F238E27FC236}">
                  <a16:creationId xmlns:a16="http://schemas.microsoft.com/office/drawing/2014/main" id="{72646355-1875-954B-F337-3357B5510899}"/>
                </a:ext>
              </a:extLst>
            </xdr:cNvPr>
            <xdr:cNvSpPr/>
          </xdr:nvSpPr>
          <xdr:spPr>
            <a:xfrm>
              <a:off x="10610850" y="3448050"/>
              <a:ext cx="2762250" cy="4238625"/>
            </a:xfrm>
            <a:prstGeom prst="roundRect">
              <a:avLst>
                <a:gd name="adj" fmla="val 4482"/>
              </a:avLst>
            </a:prstGeom>
            <a:solidFill>
              <a:schemeClr val="accent6">
                <a:alpha val="5000"/>
              </a:schemeClr>
            </a:solidFill>
            <a:ln>
              <a:solidFill>
                <a:schemeClr val="accent6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0" name="Rectangle: Rounded Corners 19">
              <a:extLst>
                <a:ext uri="{FF2B5EF4-FFF2-40B4-BE49-F238E27FC236}">
                  <a16:creationId xmlns:a16="http://schemas.microsoft.com/office/drawing/2014/main" id="{BA79821B-FF73-64BB-DCB8-4C56AE34B200}"/>
                </a:ext>
              </a:extLst>
            </xdr:cNvPr>
            <xdr:cNvSpPr/>
          </xdr:nvSpPr>
          <xdr:spPr>
            <a:xfrm>
              <a:off x="13373100" y="3448050"/>
              <a:ext cx="1638300" cy="4238625"/>
            </a:xfrm>
            <a:prstGeom prst="roundRect">
              <a:avLst>
                <a:gd name="adj" fmla="val 4482"/>
              </a:avLst>
            </a:prstGeom>
            <a:solidFill>
              <a:schemeClr val="accent6">
                <a:alpha val="5000"/>
              </a:schemeClr>
            </a:solidFill>
            <a:ln>
              <a:solidFill>
                <a:schemeClr val="accent6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21" name="Rectangle: Rounded Corners 20">
              <a:extLst>
                <a:ext uri="{FF2B5EF4-FFF2-40B4-BE49-F238E27FC236}">
                  <a16:creationId xmlns:a16="http://schemas.microsoft.com/office/drawing/2014/main" id="{5F13CE46-1A55-40D0-A8FD-E9874C2C8DEA}"/>
                </a:ext>
              </a:extLst>
            </xdr:cNvPr>
            <xdr:cNvSpPr/>
          </xdr:nvSpPr>
          <xdr:spPr>
            <a:xfrm>
              <a:off x="9286874" y="6467475"/>
              <a:ext cx="5857875" cy="1057275"/>
            </a:xfrm>
            <a:prstGeom prst="roundRect">
              <a:avLst>
                <a:gd name="adj" fmla="val 4482"/>
              </a:avLst>
            </a:prstGeom>
            <a:solidFill>
              <a:schemeClr val="accent6">
                <a:alpha val="5000"/>
              </a:schemeClr>
            </a:solidFill>
            <a:ln>
              <a:solidFill>
                <a:schemeClr val="accent6"/>
              </a:solidFill>
              <a:prstDash val="dash"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sp macro="" textlink="">
        <xdr:nvSpPr>
          <xdr:cNvPr id="23" name="Rectangle: Rounded Corners 22">
            <a:extLst>
              <a:ext uri="{FF2B5EF4-FFF2-40B4-BE49-F238E27FC236}">
                <a16:creationId xmlns:a16="http://schemas.microsoft.com/office/drawing/2014/main" id="{CD11EFBC-1B62-43AE-950C-BCCEACB3062D}"/>
              </a:ext>
            </a:extLst>
          </xdr:cNvPr>
          <xdr:cNvSpPr/>
        </xdr:nvSpPr>
        <xdr:spPr>
          <a:xfrm>
            <a:off x="9391649" y="3152775"/>
            <a:ext cx="5857875" cy="2876550"/>
          </a:xfrm>
          <a:prstGeom prst="roundRect">
            <a:avLst>
              <a:gd name="adj" fmla="val 4482"/>
            </a:avLst>
          </a:prstGeom>
          <a:solidFill>
            <a:schemeClr val="accent6">
              <a:alpha val="5000"/>
            </a:schemeClr>
          </a:solidFill>
          <a:ln>
            <a:solidFill>
              <a:schemeClr val="accent6"/>
            </a:solidFill>
            <a:prstDash val="dash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A7157-40B9-46FB-AA22-1C39E318DB3C}">
  <sheetPr codeName="Sheet1"/>
  <dimension ref="F2:Y42"/>
  <sheetViews>
    <sheetView showGridLines="0" tabSelected="1" topLeftCell="E13" workbookViewId="0">
      <selection activeCell="AB13" sqref="AB13:AB14"/>
    </sheetView>
  </sheetViews>
  <sheetFormatPr defaultRowHeight="15" x14ac:dyDescent="0.25"/>
  <cols>
    <col min="12" max="12" width="9.42578125" bestFit="1" customWidth="1"/>
  </cols>
  <sheetData>
    <row r="2" spans="6:25" x14ac:dyDescent="0.25">
      <c r="G2" s="6" t="s">
        <v>8</v>
      </c>
      <c r="H2" s="6" t="s">
        <v>9</v>
      </c>
      <c r="I2" s="6" t="s">
        <v>29</v>
      </c>
      <c r="J2" s="6" t="s">
        <v>14</v>
      </c>
      <c r="K2" s="6" t="s">
        <v>15</v>
      </c>
      <c r="L2" s="6" t="s">
        <v>16</v>
      </c>
      <c r="M2" s="6" t="s">
        <v>28</v>
      </c>
      <c r="N2" t="str">
        <f>_xlfn.TEXTJOIN("                       |                       ",1,T4:T6)</f>
        <v>aaa                       |                       bbb                       |                       ccc</v>
      </c>
      <c r="O2" t="str">
        <f>_xlfn.TEXTJOIN("      |      ",1,X4:X8)</f>
        <v>vv      |      ww      |      xx      |      yy      |      zz</v>
      </c>
    </row>
    <row r="3" spans="6:25" x14ac:dyDescent="0.25">
      <c r="F3" s="4" t="s">
        <v>0</v>
      </c>
      <c r="G3" s="4" t="s">
        <v>8</v>
      </c>
      <c r="H3" s="4" t="s">
        <v>9</v>
      </c>
      <c r="I3" s="4" t="s">
        <v>29</v>
      </c>
      <c r="J3" s="4" t="s">
        <v>12</v>
      </c>
      <c r="K3" s="4" t="s">
        <v>11</v>
      </c>
      <c r="L3" s="4" t="s">
        <v>10</v>
      </c>
      <c r="M3" s="4" t="s">
        <v>13</v>
      </c>
      <c r="N3" s="4" t="s">
        <v>30</v>
      </c>
      <c r="O3" s="4" t="s">
        <v>31</v>
      </c>
      <c r="S3" s="4" t="s">
        <v>30</v>
      </c>
      <c r="T3" s="4" t="s">
        <v>32</v>
      </c>
      <c r="W3" s="4" t="s">
        <v>31</v>
      </c>
    </row>
    <row r="4" spans="6:25" x14ac:dyDescent="0.25">
      <c r="F4" s="3" t="s">
        <v>25</v>
      </c>
      <c r="G4" s="1">
        <v>145</v>
      </c>
      <c r="H4" s="1">
        <v>752</v>
      </c>
      <c r="I4" s="1">
        <v>0.3</v>
      </c>
      <c r="J4" s="7">
        <v>0.46666666666666662</v>
      </c>
      <c r="K4" s="7">
        <v>0.5</v>
      </c>
      <c r="L4" s="7">
        <v>0.83333333333333337</v>
      </c>
      <c r="M4" s="2">
        <v>46327</v>
      </c>
      <c r="N4" s="8">
        <f ca="1">(MATCH(S4,$T$4:$T$6,0)-0.5)/3+RANDBETWEEN(0,10)/100-0.05</f>
        <v>0.11666666666666665</v>
      </c>
      <c r="O4" s="8">
        <f ca="1">(MATCH(W4,$X$4:$X$8,0)-0.5)/5+RANDBETWEEN(0,10)/100-0.05</f>
        <v>0.54999999999999993</v>
      </c>
      <c r="S4" t="s">
        <v>33</v>
      </c>
      <c r="T4" t="s">
        <v>33</v>
      </c>
      <c r="W4" t="s">
        <v>36</v>
      </c>
      <c r="X4" t="s">
        <v>40</v>
      </c>
      <c r="Y4" s="8">
        <f>(MATCH(T4,$T$4:$T$6,0)-0.5)/3</f>
        <v>0.16666666666666666</v>
      </c>
    </row>
    <row r="5" spans="6:25" x14ac:dyDescent="0.25">
      <c r="F5" s="3" t="s">
        <v>26</v>
      </c>
      <c r="G5" s="1">
        <v>132</v>
      </c>
      <c r="H5" s="1">
        <v>753</v>
      </c>
      <c r="I5" s="1">
        <v>2.2999999999999998</v>
      </c>
      <c r="J5" s="7">
        <v>0.66666666666666663</v>
      </c>
      <c r="K5" s="7">
        <v>0.6333333333333333</v>
      </c>
      <c r="L5" s="7">
        <v>0.69444444444444442</v>
      </c>
      <c r="M5" s="2">
        <v>46290</v>
      </c>
      <c r="N5" s="8">
        <v>0.13666666666666666</v>
      </c>
      <c r="O5" s="8">
        <v>0.87</v>
      </c>
      <c r="S5" t="s">
        <v>33</v>
      </c>
      <c r="T5" t="s">
        <v>34</v>
      </c>
      <c r="W5" t="s">
        <v>38</v>
      </c>
      <c r="X5" t="s">
        <v>39</v>
      </c>
      <c r="Y5" s="8">
        <f t="shared" ref="Y5:Y6" si="0">(MATCH(T5,$T$4:$T$6,0)-0.5)/3</f>
        <v>0.5</v>
      </c>
    </row>
    <row r="6" spans="6:25" x14ac:dyDescent="0.25">
      <c r="F6" s="3" t="s">
        <v>5</v>
      </c>
      <c r="G6" s="1">
        <v>230</v>
      </c>
      <c r="H6" s="1">
        <v>444</v>
      </c>
      <c r="I6" s="1">
        <v>1.1000000000000001</v>
      </c>
      <c r="J6" s="7">
        <v>0.46666666666666662</v>
      </c>
      <c r="K6" s="7">
        <v>0.83333333333333337</v>
      </c>
      <c r="L6" s="7">
        <v>0.55555555555555558</v>
      </c>
      <c r="M6" s="2">
        <v>46245</v>
      </c>
      <c r="N6" s="8">
        <v>0.79333333333333333</v>
      </c>
      <c r="O6" s="8">
        <v>0.5</v>
      </c>
      <c r="S6" t="s">
        <v>35</v>
      </c>
      <c r="T6" t="s">
        <v>35</v>
      </c>
      <c r="W6" t="s">
        <v>36</v>
      </c>
      <c r="X6" t="s">
        <v>36</v>
      </c>
      <c r="Y6" s="8">
        <f t="shared" si="0"/>
        <v>0.83333333333333337</v>
      </c>
    </row>
    <row r="7" spans="6:25" x14ac:dyDescent="0.25">
      <c r="F7" s="3" t="s">
        <v>1</v>
      </c>
      <c r="G7" s="1">
        <v>136</v>
      </c>
      <c r="H7" s="1">
        <v>565</v>
      </c>
      <c r="I7" s="1">
        <v>1.8</v>
      </c>
      <c r="J7" s="7">
        <v>0.79999999999999993</v>
      </c>
      <c r="K7" s="7">
        <v>0.93333333333333324</v>
      </c>
      <c r="L7" s="7">
        <v>0.5</v>
      </c>
      <c r="M7" s="2">
        <v>46243</v>
      </c>
      <c r="N7" s="8">
        <v>0.14666666666666667</v>
      </c>
      <c r="O7" s="8">
        <v>0.3</v>
      </c>
      <c r="S7" t="s">
        <v>33</v>
      </c>
      <c r="W7" t="s">
        <v>39</v>
      </c>
      <c r="X7" t="s">
        <v>37</v>
      </c>
    </row>
    <row r="8" spans="6:25" x14ac:dyDescent="0.25">
      <c r="F8" s="3" t="s">
        <v>19</v>
      </c>
      <c r="G8" s="1">
        <v>312</v>
      </c>
      <c r="H8" s="1">
        <v>446</v>
      </c>
      <c r="I8" s="1">
        <v>0.4</v>
      </c>
      <c r="J8" s="7">
        <v>0.73333333333333339</v>
      </c>
      <c r="K8" s="7">
        <v>0.6</v>
      </c>
      <c r="L8" s="7">
        <v>0.5</v>
      </c>
      <c r="M8" s="2">
        <v>46220</v>
      </c>
      <c r="N8" s="8">
        <v>0.20666666666666667</v>
      </c>
      <c r="O8" s="8">
        <v>0.9</v>
      </c>
      <c r="S8" t="s">
        <v>33</v>
      </c>
      <c r="W8" t="s">
        <v>38</v>
      </c>
      <c r="X8" t="s">
        <v>38</v>
      </c>
    </row>
    <row r="9" spans="6:25" x14ac:dyDescent="0.25">
      <c r="F9" s="3" t="s">
        <v>20</v>
      </c>
      <c r="G9" s="1">
        <v>100</v>
      </c>
      <c r="H9" s="1">
        <v>511</v>
      </c>
      <c r="I9" s="1">
        <v>0.3</v>
      </c>
      <c r="J9" s="7">
        <v>0.26666666666666666</v>
      </c>
      <c r="K9" s="7">
        <v>0.39999999999999997</v>
      </c>
      <c r="L9" s="7">
        <v>0.5</v>
      </c>
      <c r="M9" s="2">
        <v>46204</v>
      </c>
      <c r="N9" s="8">
        <v>0.52</v>
      </c>
      <c r="O9" s="8">
        <v>0.47000000000000003</v>
      </c>
      <c r="S9" t="s">
        <v>34</v>
      </c>
      <c r="W9" t="s">
        <v>36</v>
      </c>
    </row>
    <row r="10" spans="6:25" x14ac:dyDescent="0.25">
      <c r="F10" s="3" t="s">
        <v>3</v>
      </c>
      <c r="G10" s="1">
        <v>497</v>
      </c>
      <c r="H10" s="1">
        <v>289</v>
      </c>
      <c r="I10" s="1">
        <v>1.7</v>
      </c>
      <c r="J10" s="7">
        <v>0.93333333333333324</v>
      </c>
      <c r="K10" s="7">
        <v>1</v>
      </c>
      <c r="L10" s="7">
        <v>0.41666666666666669</v>
      </c>
      <c r="M10" s="2">
        <v>46197</v>
      </c>
      <c r="N10" s="8">
        <v>0.52999999999999992</v>
      </c>
      <c r="O10" s="8">
        <v>0.08</v>
      </c>
      <c r="S10" t="s">
        <v>34</v>
      </c>
      <c r="W10" t="s">
        <v>40</v>
      </c>
    </row>
    <row r="11" spans="6:25" x14ac:dyDescent="0.25">
      <c r="F11" s="3" t="s">
        <v>27</v>
      </c>
      <c r="G11" s="1">
        <v>325</v>
      </c>
      <c r="H11" s="1">
        <v>211</v>
      </c>
      <c r="I11" s="1">
        <v>1.4</v>
      </c>
      <c r="J11" s="7">
        <v>0.76666666666666661</v>
      </c>
      <c r="K11" s="7">
        <v>0.93333333333333324</v>
      </c>
      <c r="L11" s="7">
        <v>0.41666666666666669</v>
      </c>
      <c r="M11" s="2">
        <v>46189</v>
      </c>
      <c r="N11" s="8">
        <v>0.86333333333333329</v>
      </c>
      <c r="O11" s="8">
        <v>0.64999999999999991</v>
      </c>
      <c r="S11" t="s">
        <v>35</v>
      </c>
      <c r="W11" t="s">
        <v>37</v>
      </c>
    </row>
    <row r="12" spans="6:25" x14ac:dyDescent="0.25">
      <c r="F12" s="3" t="s">
        <v>4</v>
      </c>
      <c r="G12" s="1">
        <v>475</v>
      </c>
      <c r="H12" s="1">
        <v>635</v>
      </c>
      <c r="I12" s="1">
        <v>1.2</v>
      </c>
      <c r="J12" s="7">
        <v>0.53333333333333333</v>
      </c>
      <c r="K12" s="7">
        <v>0.73333333333333339</v>
      </c>
      <c r="L12" s="7">
        <v>0.33333333333333331</v>
      </c>
      <c r="M12" s="2">
        <v>46176</v>
      </c>
      <c r="N12" s="8">
        <v>0.18666666666666665</v>
      </c>
      <c r="O12" s="8">
        <v>0.48000000000000004</v>
      </c>
      <c r="S12" t="s">
        <v>33</v>
      </c>
      <c r="W12" t="s">
        <v>36</v>
      </c>
    </row>
    <row r="13" spans="6:25" x14ac:dyDescent="0.25">
      <c r="F13" s="3" t="s">
        <v>7</v>
      </c>
      <c r="G13" s="1">
        <v>284</v>
      </c>
      <c r="H13" s="1">
        <v>335</v>
      </c>
      <c r="I13" s="1">
        <v>1</v>
      </c>
      <c r="J13" s="7">
        <v>0.70000000000000007</v>
      </c>
      <c r="K13" s="7">
        <v>0.9</v>
      </c>
      <c r="L13" s="7">
        <v>0.33333333333333331</v>
      </c>
      <c r="M13" s="2">
        <v>46163</v>
      </c>
      <c r="N13" s="8">
        <v>0.20666666666666667</v>
      </c>
      <c r="O13" s="8">
        <v>0.53999999999999992</v>
      </c>
      <c r="S13" t="s">
        <v>33</v>
      </c>
      <c r="W13" t="s">
        <v>36</v>
      </c>
    </row>
    <row r="14" spans="6:25" x14ac:dyDescent="0.25">
      <c r="F14" s="3" t="s">
        <v>17</v>
      </c>
      <c r="G14" s="1">
        <v>106</v>
      </c>
      <c r="H14" s="1">
        <v>518</v>
      </c>
      <c r="I14" s="1">
        <v>1.4</v>
      </c>
      <c r="J14" s="7">
        <v>0.5</v>
      </c>
      <c r="K14" s="7">
        <v>0.39999999999999997</v>
      </c>
      <c r="L14" s="7">
        <v>0.33333333333333331</v>
      </c>
      <c r="M14" s="2">
        <v>46143</v>
      </c>
      <c r="N14" s="8">
        <v>0.19666666666666666</v>
      </c>
      <c r="O14" s="8">
        <v>0.86</v>
      </c>
      <c r="S14" t="s">
        <v>33</v>
      </c>
      <c r="W14" t="s">
        <v>38</v>
      </c>
    </row>
    <row r="15" spans="6:25" x14ac:dyDescent="0.25">
      <c r="F15" s="3" t="s">
        <v>18</v>
      </c>
      <c r="G15" s="1">
        <v>124</v>
      </c>
      <c r="H15" s="1">
        <v>265</v>
      </c>
      <c r="I15" s="1">
        <v>1.1000000000000001</v>
      </c>
      <c r="J15" s="7">
        <v>0.3666666666666667</v>
      </c>
      <c r="K15" s="7">
        <v>0.6333333333333333</v>
      </c>
      <c r="L15" s="7">
        <v>0.33333333333333331</v>
      </c>
      <c r="M15" s="2">
        <v>46135</v>
      </c>
      <c r="N15" s="8">
        <v>0.11666666666666665</v>
      </c>
      <c r="O15" s="8">
        <v>0.33</v>
      </c>
      <c r="S15" t="s">
        <v>33</v>
      </c>
      <c r="W15" t="s">
        <v>39</v>
      </c>
    </row>
    <row r="16" spans="6:25" x14ac:dyDescent="0.25">
      <c r="F16" s="3" t="s">
        <v>24</v>
      </c>
      <c r="G16" s="1">
        <v>221</v>
      </c>
      <c r="H16" s="1">
        <v>225</v>
      </c>
      <c r="I16" s="1">
        <v>0.9</v>
      </c>
      <c r="J16" s="7">
        <v>1</v>
      </c>
      <c r="K16" s="7">
        <v>0.83333333333333337</v>
      </c>
      <c r="L16" s="7">
        <v>0.33333333333333331</v>
      </c>
      <c r="M16" s="2">
        <v>46119</v>
      </c>
      <c r="N16" s="8">
        <v>0.52</v>
      </c>
      <c r="O16" s="8">
        <v>0.10000000000000002</v>
      </c>
      <c r="S16" t="s">
        <v>34</v>
      </c>
      <c r="W16" t="s">
        <v>40</v>
      </c>
    </row>
    <row r="17" spans="6:23" x14ac:dyDescent="0.25">
      <c r="F17" s="3" t="s">
        <v>2</v>
      </c>
      <c r="G17" s="1">
        <v>334</v>
      </c>
      <c r="H17" s="1">
        <v>443</v>
      </c>
      <c r="I17" s="1">
        <v>2.2000000000000002</v>
      </c>
      <c r="J17" s="7">
        <v>0.6333333333333333</v>
      </c>
      <c r="K17" s="7">
        <v>0.6333333333333333</v>
      </c>
      <c r="L17" s="7">
        <v>0.27777777777777779</v>
      </c>
      <c r="M17" s="2">
        <v>46113</v>
      </c>
      <c r="N17" s="8">
        <v>0.5</v>
      </c>
      <c r="O17" s="8">
        <v>0.73999999999999988</v>
      </c>
      <c r="S17" t="s">
        <v>34</v>
      </c>
      <c r="W17" t="s">
        <v>37</v>
      </c>
    </row>
    <row r="18" spans="6:23" x14ac:dyDescent="0.25">
      <c r="F18" s="3" t="s">
        <v>6</v>
      </c>
      <c r="G18" s="1">
        <v>190</v>
      </c>
      <c r="H18" s="1">
        <v>418</v>
      </c>
      <c r="I18" s="1">
        <v>2</v>
      </c>
      <c r="J18" s="7">
        <v>0.26666666666666666</v>
      </c>
      <c r="K18" s="7">
        <v>0.3666666666666667</v>
      </c>
      <c r="L18" s="7">
        <v>0.22222222222222221</v>
      </c>
      <c r="M18" s="2">
        <v>46082</v>
      </c>
      <c r="N18" s="8">
        <v>0.48000000000000004</v>
      </c>
      <c r="O18" s="8">
        <v>0.72999999999999987</v>
      </c>
      <c r="S18" t="s">
        <v>34</v>
      </c>
      <c r="W18" t="s">
        <v>37</v>
      </c>
    </row>
    <row r="19" spans="6:23" x14ac:dyDescent="0.25">
      <c r="F19" s="3" t="s">
        <v>22</v>
      </c>
      <c r="G19" s="1">
        <v>491</v>
      </c>
      <c r="H19" s="1">
        <v>202</v>
      </c>
      <c r="I19" s="1">
        <v>1.9</v>
      </c>
      <c r="J19" s="7">
        <v>0.73333333333333339</v>
      </c>
      <c r="K19" s="7">
        <v>0.6333333333333333</v>
      </c>
      <c r="L19" s="7">
        <v>0.22222222222222221</v>
      </c>
      <c r="M19" s="2">
        <v>46054</v>
      </c>
      <c r="N19" s="8">
        <v>0.86333333333333329</v>
      </c>
      <c r="O19" s="8">
        <v>0.88</v>
      </c>
      <c r="S19" t="s">
        <v>35</v>
      </c>
      <c r="W19" t="s">
        <v>38</v>
      </c>
    </row>
    <row r="20" spans="6:23" x14ac:dyDescent="0.25">
      <c r="F20" s="3" t="s">
        <v>23</v>
      </c>
      <c r="G20" s="1">
        <v>312</v>
      </c>
      <c r="H20" s="1">
        <v>457</v>
      </c>
      <c r="I20" s="1">
        <v>2.5</v>
      </c>
      <c r="J20" s="7">
        <v>0.76666666666666661</v>
      </c>
      <c r="K20" s="7">
        <v>0.79999999999999993</v>
      </c>
      <c r="L20" s="7">
        <v>0.16666666666666666</v>
      </c>
      <c r="M20" s="2">
        <v>46054</v>
      </c>
      <c r="N20" s="8">
        <v>0.86333333333333329</v>
      </c>
      <c r="O20" s="8">
        <v>0.73999999999999988</v>
      </c>
      <c r="S20" t="s">
        <v>35</v>
      </c>
      <c r="W20" t="s">
        <v>37</v>
      </c>
    </row>
    <row r="21" spans="6:23" x14ac:dyDescent="0.25">
      <c r="F21" s="3" t="s">
        <v>21</v>
      </c>
      <c r="G21" s="1">
        <v>176</v>
      </c>
      <c r="H21" s="1">
        <v>256</v>
      </c>
      <c r="I21" s="1">
        <v>1.7</v>
      </c>
      <c r="J21" s="7">
        <v>0.96666666666666667</v>
      </c>
      <c r="K21" s="7">
        <v>0.9</v>
      </c>
      <c r="L21" s="7">
        <v>0.1111111111111111</v>
      </c>
      <c r="M21" s="2">
        <v>45962</v>
      </c>
      <c r="N21" s="8">
        <v>0.5</v>
      </c>
      <c r="O21" s="8">
        <v>0.85</v>
      </c>
      <c r="S21" t="s">
        <v>34</v>
      </c>
      <c r="W21" t="s">
        <v>38</v>
      </c>
    </row>
    <row r="22" spans="6:23" x14ac:dyDescent="0.25">
      <c r="F22" s="3"/>
      <c r="G22" s="1"/>
      <c r="H22" s="1"/>
      <c r="I22" s="1"/>
      <c r="J22" s="1"/>
      <c r="K22" s="1"/>
      <c r="L22" s="2"/>
    </row>
    <row r="23" spans="6:23" x14ac:dyDescent="0.25">
      <c r="G23" s="6" t="str">
        <f>INDEX($G$2:$P$2,1,MATCH(G$24,$G$3:$P$3,0))</f>
        <v>Low &lt;-- Effort --&gt; High</v>
      </c>
      <c r="H23" s="6" t="str">
        <f>INDEX($G$2:$P$2,1,MATCH(H$24,$G$3:$P$3,0))</f>
        <v>vv      |      ww      |      xx      |      yy      |      zz</v>
      </c>
      <c r="I23" s="5"/>
      <c r="J23" s="1"/>
      <c r="T23" s="6" t="str">
        <f>INDEX($G$2:$P$2,1,MATCH(T$24,$G$3:$P$3,0))</f>
        <v>aaa                       |                       bbb                       |                       ccc</v>
      </c>
      <c r="U23" s="6" t="str">
        <f>INDEX($G$2:$P$2,1,MATCH(U$24,$G$3:$P$3,0))</f>
        <v>vv      |      ww      |      xx      |      yy      |      zz</v>
      </c>
    </row>
    <row r="24" spans="6:23" x14ac:dyDescent="0.25">
      <c r="F24" s="4" t="s">
        <v>0</v>
      </c>
      <c r="G24" s="4" t="s">
        <v>12</v>
      </c>
      <c r="H24" s="4" t="s">
        <v>31</v>
      </c>
      <c r="S24" s="4" t="s">
        <v>0</v>
      </c>
      <c r="T24" s="4" t="s">
        <v>30</v>
      </c>
      <c r="U24" s="4" t="s">
        <v>31</v>
      </c>
    </row>
    <row r="25" spans="6:23" x14ac:dyDescent="0.25">
      <c r="F25" s="3" t="s">
        <v>1</v>
      </c>
      <c r="G25">
        <f>INDEX($G$4:$P$21,MATCH($F25,$F$4:$F$21,0),MATCH(G$24,$G$3:$P$3,0))</f>
        <v>0.79999999999999993</v>
      </c>
      <c r="H25">
        <f>INDEX($G$4:$P$21,MATCH($F25,$F$4:$F$21,0),MATCH(H$24,$G$3:$P$3,0))</f>
        <v>0.3</v>
      </c>
      <c r="S25" s="3" t="s">
        <v>1</v>
      </c>
      <c r="T25">
        <f>INDEX($G$4:$P$21,MATCH($F25,$F$4:$F$21,0),MATCH(T$24,$G$3:$P$3,0))</f>
        <v>0.14666666666666667</v>
      </c>
      <c r="U25">
        <f>INDEX($G$4:$P$21,MATCH($F25,$F$4:$F$21,0),MATCH(U$24,$G$3:$P$3,0))</f>
        <v>0.3</v>
      </c>
    </row>
    <row r="26" spans="6:23" x14ac:dyDescent="0.25">
      <c r="F26" s="3" t="s">
        <v>2</v>
      </c>
      <c r="G26">
        <f t="shared" ref="G26:H42" si="1">INDEX($G$4:$P$21,MATCH($F26,$F$4:$F$21,0),MATCH(G$24,$G$3:$P$3,0))</f>
        <v>0.6333333333333333</v>
      </c>
      <c r="H26">
        <f t="shared" si="1"/>
        <v>0.73999999999999988</v>
      </c>
      <c r="S26" s="3" t="s">
        <v>2</v>
      </c>
      <c r="T26">
        <f t="shared" ref="T26:U42" si="2">INDEX($G$4:$P$21,MATCH($F26,$F$4:$F$21,0),MATCH(T$24,$G$3:$P$3,0))</f>
        <v>0.5</v>
      </c>
      <c r="U26">
        <f t="shared" si="2"/>
        <v>0.73999999999999988</v>
      </c>
    </row>
    <row r="27" spans="6:23" x14ac:dyDescent="0.25">
      <c r="F27" s="3" t="s">
        <v>3</v>
      </c>
      <c r="G27">
        <f t="shared" si="1"/>
        <v>0.93333333333333324</v>
      </c>
      <c r="H27">
        <f t="shared" si="1"/>
        <v>0.08</v>
      </c>
      <c r="S27" s="3" t="s">
        <v>3</v>
      </c>
      <c r="T27">
        <f t="shared" si="2"/>
        <v>0.52999999999999992</v>
      </c>
      <c r="U27">
        <f t="shared" si="2"/>
        <v>0.08</v>
      </c>
    </row>
    <row r="28" spans="6:23" x14ac:dyDescent="0.25">
      <c r="F28" s="3" t="s">
        <v>4</v>
      </c>
      <c r="G28">
        <f t="shared" si="1"/>
        <v>0.53333333333333333</v>
      </c>
      <c r="H28">
        <f t="shared" si="1"/>
        <v>0.48000000000000004</v>
      </c>
      <c r="S28" s="3" t="s">
        <v>4</v>
      </c>
      <c r="T28">
        <f t="shared" si="2"/>
        <v>0.18666666666666665</v>
      </c>
      <c r="U28">
        <f t="shared" si="2"/>
        <v>0.48000000000000004</v>
      </c>
    </row>
    <row r="29" spans="6:23" x14ac:dyDescent="0.25">
      <c r="F29" s="3" t="s">
        <v>5</v>
      </c>
      <c r="G29">
        <f t="shared" si="1"/>
        <v>0.46666666666666662</v>
      </c>
      <c r="H29">
        <f t="shared" si="1"/>
        <v>0.5</v>
      </c>
      <c r="S29" s="3" t="s">
        <v>5</v>
      </c>
      <c r="T29">
        <f t="shared" si="2"/>
        <v>0.79333333333333333</v>
      </c>
      <c r="U29">
        <f t="shared" si="2"/>
        <v>0.5</v>
      </c>
    </row>
    <row r="30" spans="6:23" x14ac:dyDescent="0.25">
      <c r="F30" s="3" t="s">
        <v>6</v>
      </c>
      <c r="G30">
        <f t="shared" si="1"/>
        <v>0.26666666666666666</v>
      </c>
      <c r="H30">
        <f t="shared" si="1"/>
        <v>0.72999999999999987</v>
      </c>
      <c r="S30" s="3" t="s">
        <v>6</v>
      </c>
      <c r="T30">
        <f t="shared" si="2"/>
        <v>0.48000000000000004</v>
      </c>
      <c r="U30">
        <f t="shared" si="2"/>
        <v>0.72999999999999987</v>
      </c>
    </row>
    <row r="31" spans="6:23" x14ac:dyDescent="0.25">
      <c r="F31" s="3" t="s">
        <v>7</v>
      </c>
      <c r="G31">
        <f t="shared" si="1"/>
        <v>0.70000000000000007</v>
      </c>
      <c r="H31">
        <f t="shared" si="1"/>
        <v>0.53999999999999992</v>
      </c>
      <c r="S31" s="3" t="s">
        <v>7</v>
      </c>
      <c r="T31">
        <f t="shared" si="2"/>
        <v>0.20666666666666667</v>
      </c>
      <c r="U31">
        <f t="shared" si="2"/>
        <v>0.53999999999999992</v>
      </c>
    </row>
    <row r="32" spans="6:23" x14ac:dyDescent="0.25">
      <c r="F32" s="3" t="s">
        <v>17</v>
      </c>
      <c r="G32">
        <f t="shared" si="1"/>
        <v>0.5</v>
      </c>
      <c r="H32">
        <f t="shared" si="1"/>
        <v>0.86</v>
      </c>
      <c r="S32" s="3" t="s">
        <v>17</v>
      </c>
      <c r="T32">
        <f t="shared" si="2"/>
        <v>0.19666666666666666</v>
      </c>
      <c r="U32">
        <f t="shared" si="2"/>
        <v>0.86</v>
      </c>
    </row>
    <row r="33" spans="6:21" x14ac:dyDescent="0.25">
      <c r="F33" s="3" t="s">
        <v>18</v>
      </c>
      <c r="G33">
        <f t="shared" si="1"/>
        <v>0.3666666666666667</v>
      </c>
      <c r="H33">
        <f t="shared" si="1"/>
        <v>0.33</v>
      </c>
      <c r="S33" s="3" t="s">
        <v>18</v>
      </c>
      <c r="T33">
        <f t="shared" si="2"/>
        <v>0.11666666666666665</v>
      </c>
      <c r="U33">
        <f t="shared" si="2"/>
        <v>0.33</v>
      </c>
    </row>
    <row r="34" spans="6:21" x14ac:dyDescent="0.25">
      <c r="F34" s="3" t="s">
        <v>19</v>
      </c>
      <c r="G34">
        <f t="shared" si="1"/>
        <v>0.73333333333333339</v>
      </c>
      <c r="H34">
        <f t="shared" si="1"/>
        <v>0.9</v>
      </c>
      <c r="S34" s="3" t="s">
        <v>19</v>
      </c>
      <c r="T34">
        <f t="shared" si="2"/>
        <v>0.20666666666666667</v>
      </c>
      <c r="U34">
        <f t="shared" si="2"/>
        <v>0.9</v>
      </c>
    </row>
    <row r="35" spans="6:21" x14ac:dyDescent="0.25">
      <c r="F35" s="3" t="s">
        <v>20</v>
      </c>
      <c r="G35">
        <f t="shared" si="1"/>
        <v>0.26666666666666666</v>
      </c>
      <c r="H35">
        <f t="shared" si="1"/>
        <v>0.47000000000000003</v>
      </c>
      <c r="S35" s="3" t="s">
        <v>20</v>
      </c>
      <c r="T35">
        <f t="shared" si="2"/>
        <v>0.52</v>
      </c>
      <c r="U35">
        <f t="shared" si="2"/>
        <v>0.47000000000000003</v>
      </c>
    </row>
    <row r="36" spans="6:21" x14ac:dyDescent="0.25">
      <c r="F36" s="3" t="s">
        <v>21</v>
      </c>
      <c r="G36">
        <f t="shared" si="1"/>
        <v>0.96666666666666667</v>
      </c>
      <c r="H36">
        <f t="shared" si="1"/>
        <v>0.85</v>
      </c>
      <c r="S36" s="3" t="s">
        <v>21</v>
      </c>
      <c r="T36">
        <f t="shared" si="2"/>
        <v>0.5</v>
      </c>
      <c r="U36">
        <f t="shared" si="2"/>
        <v>0.85</v>
      </c>
    </row>
    <row r="37" spans="6:21" x14ac:dyDescent="0.25">
      <c r="F37" s="3" t="s">
        <v>22</v>
      </c>
      <c r="G37">
        <f t="shared" si="1"/>
        <v>0.73333333333333339</v>
      </c>
      <c r="H37">
        <f t="shared" si="1"/>
        <v>0.88</v>
      </c>
      <c r="S37" s="3" t="s">
        <v>22</v>
      </c>
      <c r="T37">
        <f t="shared" si="2"/>
        <v>0.86333333333333329</v>
      </c>
      <c r="U37">
        <f t="shared" si="2"/>
        <v>0.88</v>
      </c>
    </row>
    <row r="38" spans="6:21" x14ac:dyDescent="0.25">
      <c r="F38" s="3" t="s">
        <v>23</v>
      </c>
      <c r="G38">
        <f t="shared" si="1"/>
        <v>0.76666666666666661</v>
      </c>
      <c r="H38">
        <f t="shared" si="1"/>
        <v>0.73999999999999988</v>
      </c>
      <c r="S38" s="3" t="s">
        <v>23</v>
      </c>
      <c r="T38">
        <f t="shared" si="2"/>
        <v>0.86333333333333329</v>
      </c>
      <c r="U38">
        <f t="shared" si="2"/>
        <v>0.73999999999999988</v>
      </c>
    </row>
    <row r="39" spans="6:21" x14ac:dyDescent="0.25">
      <c r="F39" s="3" t="s">
        <v>24</v>
      </c>
      <c r="G39">
        <f t="shared" si="1"/>
        <v>1</v>
      </c>
      <c r="H39">
        <f t="shared" si="1"/>
        <v>0.10000000000000002</v>
      </c>
      <c r="S39" s="3" t="s">
        <v>24</v>
      </c>
      <c r="T39">
        <f t="shared" si="2"/>
        <v>0.52</v>
      </c>
      <c r="U39">
        <f t="shared" si="2"/>
        <v>0.10000000000000002</v>
      </c>
    </row>
    <row r="40" spans="6:21" x14ac:dyDescent="0.25">
      <c r="F40" s="3" t="s">
        <v>25</v>
      </c>
      <c r="G40">
        <f t="shared" si="1"/>
        <v>0.46666666666666662</v>
      </c>
      <c r="H40">
        <f t="shared" ca="1" si="1"/>
        <v>0.54999999999999993</v>
      </c>
      <c r="S40" s="3" t="s">
        <v>25</v>
      </c>
      <c r="T40">
        <f t="shared" ca="1" si="2"/>
        <v>0.11666666666666665</v>
      </c>
      <c r="U40">
        <f t="shared" ca="1" si="2"/>
        <v>0.54999999999999993</v>
      </c>
    </row>
    <row r="41" spans="6:21" x14ac:dyDescent="0.25">
      <c r="F41" s="3" t="s">
        <v>26</v>
      </c>
      <c r="G41">
        <f t="shared" si="1"/>
        <v>0.66666666666666663</v>
      </c>
      <c r="H41">
        <f t="shared" si="1"/>
        <v>0.87</v>
      </c>
      <c r="S41" s="3" t="s">
        <v>26</v>
      </c>
      <c r="T41">
        <f t="shared" si="2"/>
        <v>0.13666666666666666</v>
      </c>
      <c r="U41">
        <f t="shared" si="2"/>
        <v>0.87</v>
      </c>
    </row>
    <row r="42" spans="6:21" x14ac:dyDescent="0.25">
      <c r="F42" s="3" t="s">
        <v>27</v>
      </c>
      <c r="G42">
        <f t="shared" si="1"/>
        <v>0.76666666666666661</v>
      </c>
      <c r="H42">
        <f t="shared" si="1"/>
        <v>0.64999999999999991</v>
      </c>
      <c r="S42" s="3" t="s">
        <v>27</v>
      </c>
      <c r="T42">
        <f t="shared" si="2"/>
        <v>0.86333333333333329</v>
      </c>
      <c r="U42">
        <f t="shared" si="2"/>
        <v>0.64999999999999991</v>
      </c>
    </row>
  </sheetData>
  <sortState xmlns:xlrd2="http://schemas.microsoft.com/office/spreadsheetml/2017/richdata2" ref="P24:P41">
    <sortCondition descending="1" ref="P24:P41"/>
  </sortState>
  <dataValidations count="1">
    <dataValidation type="list" allowBlank="1" showInputMessage="1" showErrorMessage="1" sqref="G24:H24 T24:U24" xr:uid="{571D9780-494E-4944-9A3C-6FBCD9E96AA9}">
      <formula1>$G$3:$P$3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Annis</dc:creator>
  <cp:lastModifiedBy>Gregory Annis</cp:lastModifiedBy>
  <dcterms:created xsi:type="dcterms:W3CDTF">2026-02-11T19:43:51Z</dcterms:created>
  <dcterms:modified xsi:type="dcterms:W3CDTF">2026-02-12T07:43:43Z</dcterms:modified>
</cp:coreProperties>
</file>